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7" documentId="13_ncr:1_{0BD8FE79-A330-4948-BB0E-B6B11F541BCA}" xr6:coauthVersionLast="47" xr6:coauthVersionMax="47" xr10:uidLastSave="{FFF35613-E163-4E8E-8D23-E9E8E1541BB2}"/>
  <bookViews>
    <workbookView xWindow="0" yWindow="500" windowWidth="38400" windowHeight="21100" tabRatio="859" xr2:uid="{00000000-000D-0000-FFFF-FFFF00000000}"/>
  </bookViews>
  <sheets>
    <sheet name="Adequação - procedimentos" sheetId="9" r:id="rId1"/>
  </sheets>
  <definedNames>
    <definedName name="_xlnm.Print_Area" localSheetId="0">'Adequação - procedimentos'!$B$1:$K$61</definedName>
    <definedName name="_xlnm.Print_Titles" localSheetId="0">'Adequação - procedimentos'!$1:$3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9" l="1"/>
  <c r="E15" i="9"/>
  <c r="K41" i="9"/>
  <c r="J41" i="9"/>
  <c r="I41" i="9"/>
  <c r="H41" i="9"/>
  <c r="G41" i="9"/>
  <c r="F41" i="9"/>
  <c r="E41" i="9"/>
  <c r="D41" i="9"/>
  <c r="K28" i="9"/>
  <c r="J28" i="9"/>
  <c r="I28" i="9"/>
  <c r="H28" i="9"/>
  <c r="G28" i="9"/>
  <c r="F28" i="9"/>
  <c r="E28" i="9"/>
  <c r="D28" i="9"/>
  <c r="F15" i="9"/>
  <c r="G15" i="9"/>
  <c r="H15" i="9"/>
  <c r="I15" i="9"/>
  <c r="J15" i="9"/>
  <c r="K15" i="9"/>
</calcChain>
</file>

<file path=xl/sharedStrings.xml><?xml version="1.0" encoding="utf-8"?>
<sst xmlns="http://schemas.openxmlformats.org/spreadsheetml/2006/main" count="79" uniqueCount="55">
  <si>
    <t>Checklist da auditoria de adequação - Procedimentos</t>
  </si>
  <si>
    <t>Verificações</t>
  </si>
  <si>
    <t>Identifica-ção dos riscos</t>
  </si>
  <si>
    <t>Gestão da legisla-ção</t>
  </si>
  <si>
    <t>Comuni-cação</t>
  </si>
  <si>
    <t>Treina-mento</t>
  </si>
  <si>
    <t>Recebi-mento de denúncias</t>
  </si>
  <si>
    <t>Investi-gação</t>
  </si>
  <si>
    <t>Reme-diação</t>
  </si>
  <si>
    <t>Gestão de Terceiros</t>
  </si>
  <si>
    <t>O procedimento está aprovado e datado sem conflito de segregação de funções (quem aprovou não é quem elaboraou)?</t>
  </si>
  <si>
    <t>Lista</t>
  </si>
  <si>
    <t>O procedimento está claramento identificado (título e/ou numeração)?</t>
  </si>
  <si>
    <t>OK</t>
  </si>
  <si>
    <t xml:space="preserve">O processo está claramento descrito (o que fazer e como fazer)? </t>
  </si>
  <si>
    <t>NOK</t>
  </si>
  <si>
    <t>Os responsáveis estão claramente definidos?</t>
  </si>
  <si>
    <t>Verificar</t>
  </si>
  <si>
    <t>A frequência (data, periodicidade) está estabelecida?</t>
  </si>
  <si>
    <t>N.A.</t>
  </si>
  <si>
    <t>A abrangência de aplicação desse procedimento está definida?</t>
  </si>
  <si>
    <t>A abrangência é adequada aos propósitos da norma de Compliance?</t>
  </si>
  <si>
    <t>Os registros (se pertinentes) estão definidos?</t>
  </si>
  <si>
    <t>O respectivo controle (se aplicável) está estabelecido?</t>
  </si>
  <si>
    <t>Os requisitos especiais (*) estão atendidos?</t>
  </si>
  <si>
    <t>Conclusão Final</t>
  </si>
  <si>
    <t>Gestão dos Registros</t>
  </si>
  <si>
    <t>G&amp;H + D&amp;P</t>
  </si>
  <si>
    <t>Análise Crítica</t>
  </si>
  <si>
    <t>Conflito de Inte-resse</t>
  </si>
  <si>
    <t>Controles e amostras</t>
  </si>
  <si>
    <t>Pagam. de Facilitação</t>
  </si>
  <si>
    <t>Pagam. de Risco</t>
  </si>
  <si>
    <t>Pro-cessos críticos</t>
  </si>
  <si>
    <t>Fusão e Aquisição</t>
  </si>
  <si>
    <t>Lavagem de Dinheiro</t>
  </si>
  <si>
    <t>Contabili-zação</t>
  </si>
  <si>
    <t>Interfaces</t>
  </si>
  <si>
    <t>Auditoria</t>
  </si>
  <si>
    <t>Ação corretiva</t>
  </si>
  <si>
    <t>Relacio-namento c/ Agente Público</t>
  </si>
  <si>
    <t>(*)  Requisitos Especiais para os procedimentos:</t>
  </si>
  <si>
    <t>Gestão dos terceiros: critérios para classificar; identificar riscos; critérios para aprovar; cláusulas contratuais; monitoramento.</t>
  </si>
  <si>
    <t>Registros - explicitar: legíveis, identificáveis, recuperáveis, disponíveis, tempo de retenção, disposição e o que fazer após prazo de retenção. Como monitora e/ou controla a os requisitos.</t>
  </si>
  <si>
    <t>Amostras - como escolher; o que fazer com resultado insatisfatório;</t>
  </si>
  <si>
    <t>G&amp;H + D&amp;P - cobre conceder e receber; critérios (quando pode, quando precisa de pré-aprovação); processo de pré-aprovação.</t>
  </si>
  <si>
    <t>Conflito de Interesse - definição, como comunicar e como evitar.</t>
  </si>
  <si>
    <t xml:space="preserve">Pag. Facilitação: Definição; critérios para permitir ou proibir; quando reembolsos são permitidos; qual é o processo, onde registrar (conta contábil+formulário) </t>
  </si>
  <si>
    <t>Pag de risco: definições apropriadas, critérios de classificação e aprovação, fluxo de aprovação e documentação mínima de suporte</t>
  </si>
  <si>
    <t>Fusão e aquisição - a) avaliar a situação passada, medidas mitigadoras e implementar sistema</t>
  </si>
  <si>
    <t>Interfaces - responsabilidades e limites de atuação de cada área</t>
  </si>
  <si>
    <t>Investigação - todas denúnicas são apuradas; confidencialidade; competência das funções de investigação; "need to know"</t>
  </si>
  <si>
    <t>Auditoria: qualificação dos auditores, como é o processo de adequação e conformidade, quais ferramentas usar, periodicidade</t>
  </si>
  <si>
    <t>Ação corretiva - devem ser tomadas em tempo hábil para eliminar a NC e causas + lista de registros</t>
  </si>
  <si>
    <t>Comentários: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</si>
</sst>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7"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sz val="10"/>
      <color theme="1"/>
      <name val="Verdana"/>
      <family val="2"/>
    </font>
    <font>
      <b/>
      <sz val="8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C1F1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C2C42"/>
      </left>
      <right style="hair">
        <color rgb="FF0C2C42"/>
      </right>
      <top style="medium">
        <color rgb="FF0C2C42"/>
      </top>
      <bottom style="medium">
        <color rgb="FF0C2C42"/>
      </bottom>
      <diagonal/>
    </border>
    <border>
      <left style="hair">
        <color rgb="FF0C2C42"/>
      </left>
      <right style="hair">
        <color rgb="FF0C2C42"/>
      </right>
      <top style="medium">
        <color rgb="FF0C2C42"/>
      </top>
      <bottom style="medium">
        <color rgb="FF0C2C42"/>
      </bottom>
      <diagonal/>
    </border>
    <border>
      <left/>
      <right style="hair">
        <color rgb="FF0C2C42"/>
      </right>
      <top style="medium">
        <color rgb="FF0C2C42"/>
      </top>
      <bottom style="medium">
        <color rgb="FF0C2C42"/>
      </bottom>
      <diagonal/>
    </border>
    <border>
      <left style="hair">
        <color rgb="FF0C2C42"/>
      </left>
      <right style="medium">
        <color rgb="FF0C2C42"/>
      </right>
      <top style="medium">
        <color rgb="FF0C2C42"/>
      </top>
      <bottom style="medium">
        <color rgb="FF0C2C42"/>
      </bottom>
      <diagonal/>
    </border>
    <border>
      <left style="medium">
        <color rgb="FF0C2C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C2C42"/>
      </right>
      <top style="thin">
        <color indexed="64"/>
      </top>
      <bottom style="thin">
        <color indexed="64"/>
      </bottom>
      <diagonal/>
    </border>
    <border>
      <left style="medium">
        <color rgb="FF0C2C42"/>
      </left>
      <right style="thin">
        <color indexed="64"/>
      </right>
      <top style="thin">
        <color indexed="64"/>
      </top>
      <bottom style="medium">
        <color rgb="FF0C2C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C2C42"/>
      </bottom>
      <diagonal/>
    </border>
    <border>
      <left style="thin">
        <color indexed="64"/>
      </left>
      <right style="medium">
        <color rgb="FF0C2C42"/>
      </right>
      <top style="thin">
        <color indexed="64"/>
      </top>
      <bottom style="medium">
        <color rgb="FF0C2C42"/>
      </bottom>
      <diagonal/>
    </border>
    <border>
      <left style="medium">
        <color rgb="FF0C2C4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C2C42"/>
      </right>
      <top style="thin">
        <color indexed="64"/>
      </top>
      <bottom/>
      <diagonal/>
    </border>
    <border>
      <left style="medium">
        <color rgb="FF0C2C42"/>
      </left>
      <right style="thin">
        <color indexed="64"/>
      </right>
      <top style="thin">
        <color rgb="FF0C2C42"/>
      </top>
      <bottom style="medium">
        <color rgb="FF0C2C42"/>
      </bottom>
      <diagonal/>
    </border>
    <border>
      <left style="thin">
        <color indexed="64"/>
      </left>
      <right style="thin">
        <color indexed="64"/>
      </right>
      <top style="thin">
        <color rgb="FF0C2C42"/>
      </top>
      <bottom style="medium">
        <color rgb="FF0C2C42"/>
      </bottom>
      <diagonal/>
    </border>
    <border>
      <left style="thin">
        <color indexed="64"/>
      </left>
      <right style="medium">
        <color rgb="FF0C2C42"/>
      </right>
      <top style="thin">
        <color rgb="FF0C2C42"/>
      </top>
      <bottom style="medium">
        <color rgb="FF0C2C42"/>
      </bottom>
      <diagonal/>
    </border>
  </borders>
  <cellStyleXfs count="2">
    <xf numFmtId="0" fontId="0" fillId="0" borderId="0"/>
    <xf numFmtId="164" fontId="1" fillId="0" borderId="0"/>
  </cellStyleXfs>
  <cellXfs count="34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2" fillId="0" borderId="15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2" fillId="0" borderId="10" xfId="0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0" borderId="3" xfId="0" applyFont="1" applyBorder="1"/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DC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0</xdr:rowOff>
    </xdr:from>
    <xdr:to>
      <xdr:col>2</xdr:col>
      <xdr:colOff>1181100</xdr:colOff>
      <xdr:row>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31C6D1-7ABF-E790-1AF4-7FFC76648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1076325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>
    <pageSetUpPr fitToPage="1"/>
  </sheetPr>
  <dimension ref="A2:W61"/>
  <sheetViews>
    <sheetView showGridLines="0" tabSelected="1" topLeftCell="B18" zoomScaleNormal="100" workbookViewId="0">
      <selection activeCell="C30" sqref="C30:K30"/>
    </sheetView>
  </sheetViews>
  <sheetFormatPr defaultColWidth="9.140625" defaultRowHeight="12.95"/>
  <cols>
    <col min="1" max="1" width="1" style="3" hidden="1" customWidth="1"/>
    <col min="2" max="2" width="1" style="3" customWidth="1"/>
    <col min="3" max="3" width="54.85546875" style="1" customWidth="1"/>
    <col min="4" max="4" width="10.42578125" style="2" customWidth="1"/>
    <col min="5" max="6" width="10.140625" style="3" customWidth="1"/>
    <col min="7" max="7" width="10.85546875" style="3" customWidth="1"/>
    <col min="8" max="8" width="10.7109375" style="3" customWidth="1"/>
    <col min="9" max="9" width="11.42578125" style="3" customWidth="1"/>
    <col min="10" max="12" width="10.140625" style="3" customWidth="1"/>
    <col min="13" max="13" width="48.7109375" style="5" customWidth="1"/>
    <col min="14" max="14" width="9.28515625" style="5" bestFit="1" customWidth="1"/>
    <col min="15" max="15" width="8.85546875" style="5" customWidth="1"/>
    <col min="16" max="16384" width="9.140625" style="3"/>
  </cols>
  <sheetData>
    <row r="2" spans="3:23" ht="39.75" customHeight="1">
      <c r="J2" s="4" t="s">
        <v>0</v>
      </c>
    </row>
    <row r="3" spans="3:23" ht="14.1" thickBot="1"/>
    <row r="4" spans="3:23" ht="39" customHeight="1" thickBot="1">
      <c r="C4" s="30" t="s">
        <v>1</v>
      </c>
      <c r="D4" s="31" t="s">
        <v>2</v>
      </c>
      <c r="E4" s="31" t="s">
        <v>3</v>
      </c>
      <c r="F4" s="31" t="s">
        <v>4</v>
      </c>
      <c r="G4" s="31" t="s">
        <v>5</v>
      </c>
      <c r="H4" s="31" t="s">
        <v>6</v>
      </c>
      <c r="I4" s="32" t="s">
        <v>7</v>
      </c>
      <c r="J4" s="31" t="s">
        <v>8</v>
      </c>
      <c r="K4" s="33" t="s">
        <v>9</v>
      </c>
    </row>
    <row r="5" spans="3:23" ht="27.75" customHeight="1">
      <c r="C5" s="6" t="s">
        <v>10</v>
      </c>
      <c r="D5" s="7"/>
      <c r="E5" s="7"/>
      <c r="F5" s="7"/>
      <c r="G5" s="7"/>
      <c r="H5" s="7"/>
      <c r="I5" s="7"/>
      <c r="J5" s="7"/>
      <c r="K5" s="8"/>
      <c r="W5" s="3" t="s">
        <v>11</v>
      </c>
    </row>
    <row r="6" spans="3:23" ht="27" customHeight="1">
      <c r="C6" s="6" t="s">
        <v>12</v>
      </c>
      <c r="D6" s="7"/>
      <c r="E6" s="7"/>
      <c r="F6" s="7"/>
      <c r="G6" s="7"/>
      <c r="H6" s="7"/>
      <c r="I6" s="7"/>
      <c r="J6" s="7"/>
      <c r="K6" s="8"/>
      <c r="W6" s="3" t="s">
        <v>13</v>
      </c>
    </row>
    <row r="7" spans="3:23" ht="13.5" customHeight="1">
      <c r="C7" s="6" t="s">
        <v>14</v>
      </c>
      <c r="D7" s="7"/>
      <c r="E7" s="7"/>
      <c r="F7" s="7"/>
      <c r="G7" s="7"/>
      <c r="H7" s="7"/>
      <c r="I7" s="7"/>
      <c r="J7" s="7"/>
      <c r="K7" s="8"/>
      <c r="W7" s="3" t="s">
        <v>15</v>
      </c>
    </row>
    <row r="8" spans="3:23">
      <c r="C8" s="6" t="s">
        <v>16</v>
      </c>
      <c r="D8" s="7"/>
      <c r="E8" s="7"/>
      <c r="F8" s="7"/>
      <c r="G8" s="7"/>
      <c r="H8" s="7"/>
      <c r="I8" s="7"/>
      <c r="J8" s="7"/>
      <c r="K8" s="8"/>
      <c r="W8" s="3" t="s">
        <v>17</v>
      </c>
    </row>
    <row r="9" spans="3:23" ht="14.25" customHeight="1">
      <c r="C9" s="6" t="s">
        <v>18</v>
      </c>
      <c r="D9" s="7"/>
      <c r="E9" s="7"/>
      <c r="F9" s="7"/>
      <c r="G9" s="7"/>
      <c r="H9" s="7"/>
      <c r="I9" s="7"/>
      <c r="J9" s="7"/>
      <c r="K9" s="8"/>
      <c r="W9" s="3" t="s">
        <v>19</v>
      </c>
    </row>
    <row r="10" spans="3:23">
      <c r="C10" s="6" t="s">
        <v>20</v>
      </c>
      <c r="D10" s="7"/>
      <c r="E10" s="7"/>
      <c r="F10" s="7"/>
      <c r="G10" s="7"/>
      <c r="H10" s="7"/>
      <c r="I10" s="7"/>
      <c r="J10" s="7"/>
      <c r="K10" s="8"/>
    </row>
    <row r="11" spans="3:23" ht="12.75" customHeight="1">
      <c r="C11" s="6" t="s">
        <v>21</v>
      </c>
      <c r="D11" s="7"/>
      <c r="E11" s="7"/>
      <c r="F11" s="7"/>
      <c r="G11" s="7"/>
      <c r="H11" s="7"/>
      <c r="I11" s="7"/>
      <c r="J11" s="7"/>
      <c r="K11" s="8"/>
    </row>
    <row r="12" spans="3:23">
      <c r="C12" s="6" t="s">
        <v>22</v>
      </c>
      <c r="D12" s="7"/>
      <c r="E12" s="7"/>
      <c r="F12" s="7"/>
      <c r="G12" s="7"/>
      <c r="H12" s="7"/>
      <c r="I12" s="7"/>
      <c r="J12" s="7"/>
      <c r="K12" s="8"/>
    </row>
    <row r="13" spans="3:23">
      <c r="C13" s="6" t="s">
        <v>23</v>
      </c>
      <c r="D13" s="7"/>
      <c r="E13" s="7"/>
      <c r="F13" s="7"/>
      <c r="G13" s="7"/>
      <c r="H13" s="7"/>
      <c r="I13" s="7"/>
      <c r="J13" s="7"/>
      <c r="K13" s="8"/>
    </row>
    <row r="14" spans="3:23">
      <c r="C14" s="9" t="s">
        <v>24</v>
      </c>
      <c r="D14" s="10"/>
      <c r="E14" s="10"/>
      <c r="F14" s="10"/>
      <c r="G14" s="10"/>
      <c r="H14" s="10"/>
      <c r="I14" s="10"/>
      <c r="J14" s="10"/>
      <c r="K14" s="11"/>
    </row>
    <row r="15" spans="3:23" ht="14.1" thickBot="1">
      <c r="C15" s="12" t="s">
        <v>25</v>
      </c>
      <c r="D15" s="13" t="str">
        <f>IF(COUNTA(D5:D14)=0,"",IF(COUNTIF(D5:D14,"N.A.")=10,"N.A.",IF(COUNTIF(D5:D14,"OK")=(10-COUNTIF(D5:D14,"N.A.")),"OK",IF(COUNTIF(D5:D14,"NOK")&gt;0,"NOK","Verificar"))))</f>
        <v/>
      </c>
      <c r="E15" s="13" t="str">
        <f>IF(COUNTA(E5:E14)=0,"",IF(COUNTIF(E5:E14,"N.A.")=10,"N.A.",IF(COUNTIF(E5:E14,"OK")=(10-COUNTIF(E5:E14,"N.A.")),"OK",IF(COUNTIF(E5:E14,"NOK")&gt;0,"NOK","Verificar"))))</f>
        <v/>
      </c>
      <c r="F15" s="13" t="str">
        <f t="shared" ref="F15:K15" si="0">IF(COUNTA(F5:F14)=0,"",IF(COUNTIF(F5:F14,"N.A.")=10,"N.A.",IF(COUNTIF(F5:F14,"OK")=(10-COUNTIF(F5:F14,"N.A.")),"OK",IF(COUNTIF(F5:F14,"NOK")&gt;0,"NOK","Verificar"))))</f>
        <v/>
      </c>
      <c r="G15" s="13" t="str">
        <f t="shared" si="0"/>
        <v/>
      </c>
      <c r="H15" s="13" t="str">
        <f t="shared" si="0"/>
        <v/>
      </c>
      <c r="I15" s="13" t="str">
        <f t="shared" si="0"/>
        <v/>
      </c>
      <c r="J15" s="13" t="str">
        <f t="shared" si="0"/>
        <v/>
      </c>
      <c r="K15" s="14" t="str">
        <f t="shared" si="0"/>
        <v/>
      </c>
    </row>
    <row r="16" spans="3:23" ht="5.25" customHeight="1" thickBot="1">
      <c r="C16" s="3"/>
      <c r="D16" s="3"/>
    </row>
    <row r="17" spans="3:11" ht="44.25" customHeight="1" thickBot="1">
      <c r="C17" s="30" t="s">
        <v>1</v>
      </c>
      <c r="D17" s="31" t="s">
        <v>26</v>
      </c>
      <c r="E17" s="31" t="s">
        <v>27</v>
      </c>
      <c r="F17" s="31" t="s">
        <v>28</v>
      </c>
      <c r="G17" s="31" t="s">
        <v>29</v>
      </c>
      <c r="H17" s="31" t="s">
        <v>30</v>
      </c>
      <c r="I17" s="32" t="s">
        <v>31</v>
      </c>
      <c r="J17" s="31" t="s">
        <v>32</v>
      </c>
      <c r="K17" s="33" t="s">
        <v>33</v>
      </c>
    </row>
    <row r="18" spans="3:11" ht="35.25" customHeight="1">
      <c r="C18" s="6" t="s">
        <v>10</v>
      </c>
      <c r="D18" s="7"/>
      <c r="E18" s="7"/>
      <c r="F18" s="7"/>
      <c r="G18" s="7"/>
      <c r="H18" s="7"/>
      <c r="I18" s="7"/>
      <c r="J18" s="7"/>
      <c r="K18" s="8"/>
    </row>
    <row r="19" spans="3:11" ht="24" customHeight="1">
      <c r="C19" s="6" t="s">
        <v>12</v>
      </c>
      <c r="D19" s="7"/>
      <c r="E19" s="7"/>
      <c r="F19" s="7"/>
      <c r="G19" s="7"/>
      <c r="H19" s="7"/>
      <c r="I19" s="7"/>
      <c r="J19" s="7"/>
      <c r="K19" s="8"/>
    </row>
    <row r="20" spans="3:11" ht="14.25" customHeight="1">
      <c r="C20" s="6" t="s">
        <v>14</v>
      </c>
      <c r="D20" s="7"/>
      <c r="E20" s="7"/>
      <c r="F20" s="7"/>
      <c r="G20" s="7"/>
      <c r="H20" s="7"/>
      <c r="I20" s="7"/>
      <c r="J20" s="7"/>
      <c r="K20" s="8"/>
    </row>
    <row r="21" spans="3:11">
      <c r="C21" s="6" t="s">
        <v>16</v>
      </c>
      <c r="D21" s="7"/>
      <c r="E21" s="7"/>
      <c r="F21" s="7"/>
      <c r="G21" s="7"/>
      <c r="H21" s="7"/>
      <c r="I21" s="7"/>
      <c r="J21" s="7"/>
      <c r="K21" s="8"/>
    </row>
    <row r="22" spans="3:11">
      <c r="C22" s="6" t="s">
        <v>18</v>
      </c>
      <c r="D22" s="7"/>
      <c r="E22" s="7"/>
      <c r="F22" s="7"/>
      <c r="G22" s="7"/>
      <c r="H22" s="7"/>
      <c r="I22" s="7"/>
      <c r="J22" s="7"/>
      <c r="K22" s="8"/>
    </row>
    <row r="23" spans="3:11">
      <c r="C23" s="6" t="s">
        <v>20</v>
      </c>
      <c r="D23" s="7"/>
      <c r="E23" s="7"/>
      <c r="F23" s="7"/>
      <c r="G23" s="7"/>
      <c r="H23" s="7"/>
      <c r="I23" s="7"/>
      <c r="J23" s="7"/>
      <c r="K23" s="8"/>
    </row>
    <row r="24" spans="3:11" ht="13.5" customHeight="1">
      <c r="C24" s="6" t="s">
        <v>21</v>
      </c>
      <c r="D24" s="7"/>
      <c r="E24" s="7"/>
      <c r="F24" s="7"/>
      <c r="G24" s="7"/>
      <c r="H24" s="7"/>
      <c r="I24" s="7"/>
      <c r="J24" s="7"/>
      <c r="K24" s="8"/>
    </row>
    <row r="25" spans="3:11">
      <c r="C25" s="6" t="s">
        <v>22</v>
      </c>
      <c r="D25" s="7"/>
      <c r="E25" s="7"/>
      <c r="F25" s="7"/>
      <c r="G25" s="7"/>
      <c r="H25" s="7"/>
      <c r="I25" s="7"/>
      <c r="J25" s="7"/>
      <c r="K25" s="8"/>
    </row>
    <row r="26" spans="3:11">
      <c r="C26" s="6" t="s">
        <v>23</v>
      </c>
      <c r="D26" s="7"/>
      <c r="E26" s="7"/>
      <c r="F26" s="7"/>
      <c r="G26" s="7"/>
      <c r="H26" s="7"/>
      <c r="I26" s="7"/>
      <c r="J26" s="7"/>
      <c r="K26" s="8"/>
    </row>
    <row r="27" spans="3:11">
      <c r="C27" s="6" t="s">
        <v>24</v>
      </c>
      <c r="D27" s="7"/>
      <c r="E27" s="7"/>
      <c r="F27" s="7"/>
      <c r="G27" s="7"/>
      <c r="H27" s="7"/>
      <c r="I27" s="7"/>
      <c r="J27" s="7"/>
      <c r="K27" s="8"/>
    </row>
    <row r="28" spans="3:11" ht="14.1" thickBot="1">
      <c r="C28" s="15" t="s">
        <v>25</v>
      </c>
      <c r="D28" s="16" t="str">
        <f>IF(COUNTA(D18:D27)=0,"",IF(COUNTIF(D18:D27,"N.A.")=10,"N.A.",IF(COUNTIF(D18:D27,"OK")=(10-COUNTIF(D18:D27,"N.A.")),"OK",IF(COUNTIF(D18:D27,"NOK")&gt;0,"NOK","Verificar"))))</f>
        <v/>
      </c>
      <c r="E28" s="16" t="str">
        <f t="shared" ref="E28" si="1">IF(COUNTA(E18:E27)=0,"",IF(COUNTIF(E18:E27,"N.A.")=10,"N.A.",IF(COUNTIF(E18:E27,"OK")=(10-COUNTIF(E18:E27,"N.A.")),"OK",IF(COUNTIF(E18:E27,"NOK")&gt;0,"NOK","Verificar"))))</f>
        <v/>
      </c>
      <c r="F28" s="16" t="str">
        <f t="shared" ref="F28" si="2">IF(COUNTA(F18:F27)=0,"",IF(COUNTIF(F18:F27,"N.A.")=10,"N.A.",IF(COUNTIF(F18:F27,"OK")=(10-COUNTIF(F18:F27,"N.A.")),"OK",IF(COUNTIF(F18:F27,"NOK")&gt;0,"NOK","Verificar"))))</f>
        <v/>
      </c>
      <c r="G28" s="16" t="str">
        <f t="shared" ref="G28" si="3">IF(COUNTA(G18:G27)=0,"",IF(COUNTIF(G18:G27,"N.A.")=10,"N.A.",IF(COUNTIF(G18:G27,"OK")=(10-COUNTIF(G18:G27,"N.A.")),"OK",IF(COUNTIF(G18:G27,"NOK")&gt;0,"NOK","Verificar"))))</f>
        <v/>
      </c>
      <c r="H28" s="16" t="str">
        <f t="shared" ref="H28" si="4">IF(COUNTA(H18:H27)=0,"",IF(COUNTIF(H18:H27,"N.A.")=10,"N.A.",IF(COUNTIF(H18:H27,"OK")=(10-COUNTIF(H18:H27,"N.A.")),"OK",IF(COUNTIF(H18:H27,"NOK")&gt;0,"NOK","Verificar"))))</f>
        <v/>
      </c>
      <c r="I28" s="16" t="str">
        <f t="shared" ref="I28" si="5">IF(COUNTA(I18:I27)=0,"",IF(COUNTIF(I18:I27,"N.A.")=10,"N.A.",IF(COUNTIF(I18:I27,"OK")=(10-COUNTIF(I18:I27,"N.A.")),"OK",IF(COUNTIF(I18:I27,"NOK")&gt;0,"NOK","Verificar"))))</f>
        <v/>
      </c>
      <c r="J28" s="16" t="str">
        <f t="shared" ref="J28" si="6">IF(COUNTA(J18:J27)=0,"",IF(COUNTIF(J18:J27,"N.A.")=10,"N.A.",IF(COUNTIF(J18:J27,"OK")=(10-COUNTIF(J18:J27,"N.A.")),"OK",IF(COUNTIF(J18:J27,"NOK")&gt;0,"NOK","Verificar"))))</f>
        <v/>
      </c>
      <c r="K28" s="17" t="str">
        <f t="shared" ref="K28" si="7">IF(COUNTA(K18:K27)=0,"",IF(COUNTIF(K18:K27,"N.A.")=10,"N.A.",IF(COUNTIF(K18:K27,"OK")=(10-COUNTIF(K18:K27,"N.A.")),"OK",IF(COUNTIF(K18:K27,"NOK")&gt;0,"NOK","Verificar"))))</f>
        <v/>
      </c>
    </row>
    <row r="29" spans="3:11" ht="7.5" customHeight="1" thickBot="1">
      <c r="C29" s="3"/>
      <c r="D29" s="3"/>
    </row>
    <row r="30" spans="3:11" ht="48.95" thickBot="1">
      <c r="C30" s="30" t="s">
        <v>1</v>
      </c>
      <c r="D30" s="31" t="s">
        <v>34</v>
      </c>
      <c r="E30" s="31" t="s">
        <v>35</v>
      </c>
      <c r="F30" s="31" t="s">
        <v>36</v>
      </c>
      <c r="G30" s="31" t="s">
        <v>37</v>
      </c>
      <c r="H30" s="31" t="s">
        <v>38</v>
      </c>
      <c r="I30" s="32" t="s">
        <v>39</v>
      </c>
      <c r="J30" s="31" t="s">
        <v>40</v>
      </c>
      <c r="K30" s="33"/>
    </row>
    <row r="31" spans="3:11" ht="27.75" customHeight="1">
      <c r="C31" s="6" t="s">
        <v>10</v>
      </c>
      <c r="D31" s="7"/>
      <c r="E31" s="7"/>
      <c r="F31" s="7"/>
      <c r="G31" s="7"/>
      <c r="H31" s="7"/>
      <c r="I31" s="7"/>
      <c r="J31" s="7"/>
      <c r="K31" s="8"/>
    </row>
    <row r="32" spans="3:11" ht="15.75" customHeight="1">
      <c r="C32" s="6" t="s">
        <v>12</v>
      </c>
      <c r="D32" s="7"/>
      <c r="E32" s="7"/>
      <c r="F32" s="7"/>
      <c r="G32" s="7"/>
      <c r="H32" s="7"/>
      <c r="I32" s="7"/>
      <c r="J32" s="7"/>
      <c r="K32" s="8"/>
    </row>
    <row r="33" spans="3:11" ht="14.25" customHeight="1">
      <c r="C33" s="6" t="s">
        <v>14</v>
      </c>
      <c r="D33" s="7"/>
      <c r="E33" s="7"/>
      <c r="F33" s="7"/>
      <c r="G33" s="7"/>
      <c r="H33" s="7"/>
      <c r="I33" s="7"/>
      <c r="J33" s="7"/>
      <c r="K33" s="8"/>
    </row>
    <row r="34" spans="3:11">
      <c r="C34" s="6" t="s">
        <v>16</v>
      </c>
      <c r="D34" s="7"/>
      <c r="E34" s="7"/>
      <c r="F34" s="7"/>
      <c r="G34" s="7"/>
      <c r="H34" s="7"/>
      <c r="I34" s="7"/>
      <c r="J34" s="7"/>
      <c r="K34" s="8"/>
    </row>
    <row r="35" spans="3:11">
      <c r="C35" s="6" t="s">
        <v>18</v>
      </c>
      <c r="D35" s="7"/>
      <c r="E35" s="7"/>
      <c r="F35" s="7"/>
      <c r="G35" s="7"/>
      <c r="H35" s="7"/>
      <c r="I35" s="7"/>
      <c r="J35" s="7"/>
      <c r="K35" s="8"/>
    </row>
    <row r="36" spans="3:11">
      <c r="C36" s="6" t="s">
        <v>20</v>
      </c>
      <c r="D36" s="7"/>
      <c r="E36" s="7"/>
      <c r="F36" s="7"/>
      <c r="G36" s="7"/>
      <c r="H36" s="7"/>
      <c r="I36" s="7"/>
      <c r="J36" s="7"/>
      <c r="K36" s="8"/>
    </row>
    <row r="37" spans="3:11" ht="13.5" customHeight="1">
      <c r="C37" s="6" t="s">
        <v>21</v>
      </c>
      <c r="D37" s="7"/>
      <c r="E37" s="7"/>
      <c r="F37" s="7"/>
      <c r="G37" s="7"/>
      <c r="H37" s="7"/>
      <c r="I37" s="7"/>
      <c r="J37" s="7"/>
      <c r="K37" s="8"/>
    </row>
    <row r="38" spans="3:11">
      <c r="C38" s="6" t="s">
        <v>22</v>
      </c>
      <c r="D38" s="7"/>
      <c r="E38" s="7"/>
      <c r="F38" s="7"/>
      <c r="G38" s="7"/>
      <c r="H38" s="7"/>
      <c r="I38" s="7"/>
      <c r="J38" s="7"/>
      <c r="K38" s="8"/>
    </row>
    <row r="39" spans="3:11">
      <c r="C39" s="6" t="s">
        <v>23</v>
      </c>
      <c r="D39" s="7"/>
      <c r="E39" s="7"/>
      <c r="F39" s="7"/>
      <c r="G39" s="7"/>
      <c r="H39" s="7"/>
      <c r="I39" s="7"/>
      <c r="J39" s="7"/>
      <c r="K39" s="8"/>
    </row>
    <row r="40" spans="3:11">
      <c r="C40" s="6" t="s">
        <v>24</v>
      </c>
      <c r="D40" s="7"/>
      <c r="E40" s="7"/>
      <c r="F40" s="7"/>
      <c r="G40" s="7"/>
      <c r="H40" s="7"/>
      <c r="I40" s="7"/>
      <c r="J40" s="7"/>
      <c r="K40" s="8"/>
    </row>
    <row r="41" spans="3:11" ht="14.1" thickBot="1">
      <c r="C41" s="15" t="s">
        <v>25</v>
      </c>
      <c r="D41" s="16" t="str">
        <f>IF(COUNTA(D31:D40)=0,"",IF(COUNTIF(D31:D40,"N.A.")=10,"N.A.",IF(COUNTIF(D31:D40,"OK")=(10-COUNTIF(D31:D40,"N.A.")),"OK",IF(COUNTIF(D31:D40,"NOK")&gt;0,"NOK","Verificar"))))</f>
        <v/>
      </c>
      <c r="E41" s="16" t="str">
        <f t="shared" ref="E41" si="8">IF(COUNTA(E31:E40)=0,"",IF(COUNTIF(E31:E40,"N.A.")=10,"N.A.",IF(COUNTIF(E31:E40,"OK")=(10-COUNTIF(E31:E40,"N.A.")),"OK",IF(COUNTIF(E31:E40,"NOK")&gt;0,"NOK","Verificar"))))</f>
        <v/>
      </c>
      <c r="F41" s="16" t="str">
        <f t="shared" ref="F41" si="9">IF(COUNTA(F31:F40)=0,"",IF(COUNTIF(F31:F40,"N.A.")=10,"N.A.",IF(COUNTIF(F31:F40,"OK")=(10-COUNTIF(F31:F40,"N.A.")),"OK",IF(COUNTIF(F31:F40,"NOK")&gt;0,"NOK","Verificar"))))</f>
        <v/>
      </c>
      <c r="G41" s="16" t="str">
        <f t="shared" ref="G41" si="10">IF(COUNTA(G31:G40)=0,"",IF(COUNTIF(G31:G40,"N.A.")=10,"N.A.",IF(COUNTIF(G31:G40,"OK")=(10-COUNTIF(G31:G40,"N.A.")),"OK",IF(COUNTIF(G31:G40,"NOK")&gt;0,"NOK","Verificar"))))</f>
        <v/>
      </c>
      <c r="H41" s="16" t="str">
        <f t="shared" ref="H41" si="11">IF(COUNTA(H31:H40)=0,"",IF(COUNTIF(H31:H40,"N.A.")=10,"N.A.",IF(COUNTIF(H31:H40,"OK")=(10-COUNTIF(H31:H40,"N.A.")),"OK",IF(COUNTIF(H31:H40,"NOK")&gt;0,"NOK","Verificar"))))</f>
        <v/>
      </c>
      <c r="I41" s="16" t="str">
        <f t="shared" ref="I41" si="12">IF(COUNTA(I31:I40)=0,"",IF(COUNTIF(I31:I40,"N.A.")=10,"N.A.",IF(COUNTIF(I31:I40,"OK")=(10-COUNTIF(I31:I40,"N.A.")),"OK",IF(COUNTIF(I31:I40,"NOK")&gt;0,"NOK","Verificar"))))</f>
        <v/>
      </c>
      <c r="J41" s="16" t="str">
        <f t="shared" ref="J41" si="13">IF(COUNTA(J31:J40)=0,"",IF(COUNTIF(J31:J40,"N.A.")=10,"N.A.",IF(COUNTIF(J31:J40,"OK")=(10-COUNTIF(J31:J40,"N.A.")),"OK",IF(COUNTIF(J31:J40,"NOK")&gt;0,"NOK","Verificar"))))</f>
        <v/>
      </c>
      <c r="K41" s="17" t="str">
        <f t="shared" ref="K41" si="14">IF(COUNTA(K31:K40)=0,"",IF(COUNTIF(K31:K40,"N.A.")=10,"N.A.",IF(COUNTIF(K31:K40,"OK")=(10-COUNTIF(K31:K40,"N.A.")),"OK",IF(COUNTIF(K31:K40,"NOK")&gt;0,"NOK","Verificar"))))</f>
        <v/>
      </c>
    </row>
    <row r="42" spans="3:11" ht="3" customHeight="1">
      <c r="D42" s="18"/>
      <c r="E42" s="18"/>
      <c r="F42" s="18"/>
      <c r="G42" s="18"/>
      <c r="H42" s="18"/>
      <c r="I42" s="18"/>
      <c r="J42" s="18"/>
      <c r="K42" s="18"/>
    </row>
    <row r="43" spans="3:11">
      <c r="C43" s="19" t="s">
        <v>41</v>
      </c>
      <c r="D43" s="3"/>
    </row>
    <row r="44" spans="3:11" ht="6" customHeight="1">
      <c r="D44" s="3"/>
    </row>
    <row r="45" spans="3:11">
      <c r="C45" s="3" t="s">
        <v>42</v>
      </c>
      <c r="D45" s="3"/>
    </row>
    <row r="46" spans="3:11">
      <c r="C46" s="3" t="s">
        <v>43</v>
      </c>
    </row>
    <row r="47" spans="3:11">
      <c r="C47" s="3" t="s">
        <v>44</v>
      </c>
    </row>
    <row r="48" spans="3:11">
      <c r="C48" s="3" t="s">
        <v>45</v>
      </c>
    </row>
    <row r="49" spans="3:11">
      <c r="C49" s="3" t="s">
        <v>46</v>
      </c>
    </row>
    <row r="50" spans="3:11">
      <c r="C50" s="3" t="s">
        <v>47</v>
      </c>
    </row>
    <row r="51" spans="3:11">
      <c r="C51" s="3" t="s">
        <v>48</v>
      </c>
      <c r="D51" s="3"/>
    </row>
    <row r="52" spans="3:11">
      <c r="C52" s="3" t="s">
        <v>49</v>
      </c>
      <c r="D52" s="3"/>
    </row>
    <row r="53" spans="3:11">
      <c r="C53" s="3" t="s">
        <v>50</v>
      </c>
      <c r="D53" s="3"/>
    </row>
    <row r="54" spans="3:11">
      <c r="C54" s="3" t="s">
        <v>51</v>
      </c>
      <c r="D54" s="3"/>
    </row>
    <row r="55" spans="3:11">
      <c r="C55" s="3" t="s">
        <v>52</v>
      </c>
      <c r="D55" s="3"/>
    </row>
    <row r="56" spans="3:11">
      <c r="C56" s="3" t="s">
        <v>53</v>
      </c>
      <c r="D56" s="3"/>
    </row>
    <row r="57" spans="3:11" ht="3" customHeight="1">
      <c r="C57" s="3"/>
      <c r="D57" s="3"/>
    </row>
    <row r="58" spans="3:11">
      <c r="C58" s="20" t="s">
        <v>54</v>
      </c>
      <c r="D58" s="21"/>
      <c r="E58" s="22"/>
      <c r="F58" s="22"/>
      <c r="G58" s="22"/>
      <c r="H58" s="22"/>
      <c r="I58" s="22"/>
      <c r="J58" s="22"/>
      <c r="K58" s="23"/>
    </row>
    <row r="59" spans="3:11">
      <c r="C59" s="24"/>
      <c r="K59" s="25"/>
    </row>
    <row r="60" spans="3:11">
      <c r="C60" s="24"/>
      <c r="K60" s="25"/>
    </row>
    <row r="61" spans="3:11">
      <c r="C61" s="26"/>
      <c r="D61" s="27"/>
      <c r="E61" s="28"/>
      <c r="F61" s="28"/>
      <c r="G61" s="28"/>
      <c r="H61" s="28"/>
      <c r="I61" s="28"/>
      <c r="J61" s="28"/>
      <c r="K61" s="29"/>
    </row>
  </sheetData>
  <conditionalFormatting sqref="D31:K42 D5:K15 D18:K28">
    <cfRule type="cellIs" dxfId="4" priority="37" operator="equal">
      <formula>$W$9</formula>
    </cfRule>
    <cfRule type="cellIs" dxfId="3" priority="38" operator="equal">
      <formula>$W$8</formula>
    </cfRule>
    <cfRule type="cellIs" dxfId="2" priority="39" operator="equal">
      <formula>$W$7</formula>
    </cfRule>
    <cfRule type="cellIs" dxfId="1" priority="40" operator="equal">
      <formula>#REF!</formula>
    </cfRule>
  </conditionalFormatting>
  <conditionalFormatting sqref="D31:K42 D5:K15 D18:K28">
    <cfRule type="cellIs" dxfId="0" priority="49" operator="equal">
      <formula>$W$6</formula>
    </cfRule>
  </conditionalFormatting>
  <dataValidations count="1">
    <dataValidation type="list" allowBlank="1" showInputMessage="1" showErrorMessage="1" sqref="D31:K40 D18:K27 D5:K14 D42:K42" xr:uid="{00000000-0002-0000-0000-000000000000}">
      <formula1>$W$6:$W$9</formula1>
    </dataValidation>
  </dataValidations>
  <pageMargins left="0.51181102362204722" right="0.51181102362204722" top="0.78740157480314965" bottom="1.0236220472440944" header="0.31496062992125984" footer="0.31496062992125984"/>
  <pageSetup paperSize="9" scale="98" fitToHeight="4" orientation="landscape" verticalDpi="4294967293" r:id="rId1"/>
  <headerFooter>
    <oddHeader>&amp;C&amp;14
&amp;R&amp;P / &amp;N</oddHeader>
    <oddFooter>&amp;LAnálise
__________________________________________________________________
Auditor - Nome / Data / Ass.&amp;R&amp;KFF0000© Todos os direitos reservados – proibida a reprodução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F36DC-75FB-4C91-A763-236AA6A98F42}"/>
</file>

<file path=customXml/itemProps2.xml><?xml version="1.0" encoding="utf-8"?>
<ds:datastoreItem xmlns:ds="http://schemas.openxmlformats.org/officeDocument/2006/customXml" ds:itemID="{E5D62DEA-7894-45D5-9963-ACB2DDB23CC8}"/>
</file>

<file path=customXml/itemProps3.xml><?xml version="1.0" encoding="utf-8"?>
<ds:datastoreItem xmlns:ds="http://schemas.openxmlformats.org/officeDocument/2006/customXml" ds:itemID="{BFE18325-6502-49E8-8007-3202E6C7A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Siemens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</dc:creator>
  <cp:keywords/>
  <dc:description/>
  <cp:lastModifiedBy>i:0#.f|membership|salmeida@tortillas.com.br</cp:lastModifiedBy>
  <cp:revision/>
  <dcterms:created xsi:type="dcterms:W3CDTF">2014-02-05T23:07:14Z</dcterms:created>
  <dcterms:modified xsi:type="dcterms:W3CDTF">2026-09-03T12:44:18Z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